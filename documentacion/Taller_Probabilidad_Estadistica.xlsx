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n\Downloads\"/>
    </mc:Choice>
  </mc:AlternateContent>
  <xr:revisionPtr revIDLastSave="0" documentId="13_ncr:1_{9F811A62-286F-438D-83F9-2F58A1B949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jercicio 1" sheetId="1" r:id="rId1"/>
    <sheet name="Ejercicio 2" sheetId="2" r:id="rId2"/>
    <sheet name="Ejercicio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" l="1"/>
  <c r="H18" i="2"/>
  <c r="G18" i="2"/>
  <c r="B18" i="2"/>
  <c r="D18" i="2"/>
  <c r="A18" i="2"/>
  <c r="C23" i="3"/>
  <c r="D23" i="3"/>
  <c r="E23" i="3"/>
  <c r="B23" i="3"/>
  <c r="C9" i="2"/>
  <c r="D9" i="2"/>
  <c r="A9" i="2"/>
  <c r="B9" i="2"/>
  <c r="B8" i="1"/>
  <c r="C8" i="1"/>
  <c r="D8" i="1"/>
  <c r="E8" i="1"/>
</calcChain>
</file>

<file path=xl/sharedStrings.xml><?xml version="1.0" encoding="utf-8"?>
<sst xmlns="http://schemas.openxmlformats.org/spreadsheetml/2006/main" count="40" uniqueCount="21">
  <si>
    <t>x</t>
  </si>
  <si>
    <t>f</t>
  </si>
  <si>
    <t>Fr</t>
  </si>
  <si>
    <t>%</t>
  </si>
  <si>
    <t>F</t>
  </si>
  <si>
    <t>Fi</t>
  </si>
  <si>
    <t>Media: 2.05</t>
  </si>
  <si>
    <t>Moda: 2</t>
  </si>
  <si>
    <t>Moda: 18</t>
  </si>
  <si>
    <t>Mediana: 18</t>
  </si>
  <si>
    <t>Mediana: 2</t>
  </si>
  <si>
    <t>Respuestas a las preguntas adicionales:</t>
  </si>
  <si>
    <t>total</t>
  </si>
  <si>
    <t>Media: 17.8</t>
  </si>
  <si>
    <t>Media: 12.33</t>
  </si>
  <si>
    <t>Moda: 5, 9, 10, 12</t>
  </si>
  <si>
    <t>Mediana: 11</t>
  </si>
  <si>
    <t>fr</t>
  </si>
  <si>
    <t>Frecuencia relativa de empresas con 18 o menos plantas atacadas: 0.72 (72%)</t>
  </si>
  <si>
    <t>Frecuencia relativa de empresas con 18 o más plantas atacadas: 0.56 (56%)</t>
  </si>
  <si>
    <t>JORDAN RAMIREZ GALLEGO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</si>
</sst>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workbookViewId="0">
      <selection activeCell="F13" sqref="F13"/>
    </sheetView>
  </sheetViews>
  <sheetFormatPr baseColWidth="10" defaultColWidth="8.88671875" defaultRowHeight="14.4" x14ac:dyDescent="0.3"/>
  <sheetData>
    <row r="2" spans="1:8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t="s">
        <v>6</v>
      </c>
    </row>
    <row r="3" spans="1:8" x14ac:dyDescent="0.3">
      <c r="B3" s="1">
        <v>0</v>
      </c>
      <c r="C3" s="1">
        <v>2</v>
      </c>
      <c r="D3" s="1">
        <v>9.5238095238095233E-2</v>
      </c>
      <c r="E3" s="1">
        <v>9.5238095238095202</v>
      </c>
      <c r="F3" s="1">
        <v>2</v>
      </c>
      <c r="G3" s="1">
        <v>9.5238095238095233E-2</v>
      </c>
      <c r="H3" t="s">
        <v>7</v>
      </c>
    </row>
    <row r="4" spans="1:8" x14ac:dyDescent="0.3">
      <c r="B4" s="1">
        <v>1</v>
      </c>
      <c r="C4" s="1">
        <v>4</v>
      </c>
      <c r="D4" s="1">
        <v>0.19047619047619049</v>
      </c>
      <c r="E4" s="1">
        <v>19.047619047619051</v>
      </c>
      <c r="F4" s="1">
        <v>6</v>
      </c>
      <c r="G4" s="1">
        <v>0.2857142857142857</v>
      </c>
      <c r="H4" t="s">
        <v>10</v>
      </c>
    </row>
    <row r="5" spans="1:8" x14ac:dyDescent="0.3">
      <c r="B5" s="1">
        <v>2</v>
      </c>
      <c r="C5" s="1">
        <v>8</v>
      </c>
      <c r="D5" s="1">
        <v>0.38095238095238088</v>
      </c>
      <c r="E5" s="1">
        <v>38.095238095238088</v>
      </c>
      <c r="F5" s="1">
        <v>14</v>
      </c>
      <c r="G5" s="1">
        <v>0.66666666666666663</v>
      </c>
    </row>
    <row r="6" spans="1:8" x14ac:dyDescent="0.3">
      <c r="B6" s="1">
        <v>3</v>
      </c>
      <c r="C6" s="1">
        <v>4</v>
      </c>
      <c r="D6" s="1">
        <v>0.23809523809523811</v>
      </c>
      <c r="E6" s="1">
        <v>23.80952380952381</v>
      </c>
      <c r="F6" s="1">
        <v>18</v>
      </c>
      <c r="G6" s="1">
        <v>0.90476190476190466</v>
      </c>
    </row>
    <row r="7" spans="1:8" x14ac:dyDescent="0.3">
      <c r="B7" s="1">
        <v>4</v>
      </c>
      <c r="C7" s="1">
        <v>2</v>
      </c>
      <c r="D7" s="1">
        <v>9.5238095238095233E-2</v>
      </c>
      <c r="E7" s="1">
        <v>9.5238095238095237</v>
      </c>
      <c r="F7" s="1">
        <v>20</v>
      </c>
      <c r="G7" s="1">
        <v>0.99999999999999989</v>
      </c>
    </row>
    <row r="8" spans="1:8" x14ac:dyDescent="0.3">
      <c r="A8" s="5" t="s">
        <v>12</v>
      </c>
      <c r="B8" s="5">
        <f t="shared" ref="B8:C8" si="0">SUM(B3+B4+B5+B6+B7)</f>
        <v>10</v>
      </c>
      <c r="C8" s="5">
        <f t="shared" si="0"/>
        <v>20</v>
      </c>
      <c r="D8" s="5">
        <f>SUM(D3+D4+D5+D6+D7)</f>
        <v>0.99999999999999989</v>
      </c>
      <c r="E8" s="5">
        <f>E3+E4+E5+E6+E7</f>
        <v>99.999999999999986</v>
      </c>
    </row>
    <row r="12" spans="1:8" x14ac:dyDescent="0.3">
      <c r="B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G18" sqref="G18:J18"/>
    </sheetView>
  </sheetViews>
  <sheetFormatPr baseColWidth="10" defaultColWidth="8.88671875" defaultRowHeight="14.4" x14ac:dyDescent="0.3"/>
  <cols>
    <col min="2" max="2" width="11.332031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x14ac:dyDescent="0.3">
      <c r="A2" s="1">
        <v>15</v>
      </c>
      <c r="B2" s="1">
        <v>3</v>
      </c>
      <c r="C2" s="1">
        <v>0.16</v>
      </c>
      <c r="D2" s="1">
        <v>16</v>
      </c>
      <c r="E2" s="1">
        <v>4</v>
      </c>
      <c r="F2" s="1">
        <v>0.16</v>
      </c>
      <c r="H2" t="s">
        <v>13</v>
      </c>
    </row>
    <row r="3" spans="1:10" x14ac:dyDescent="0.3">
      <c r="A3" s="1">
        <v>16</v>
      </c>
      <c r="B3" s="1">
        <v>3</v>
      </c>
      <c r="C3" s="1">
        <v>0.08</v>
      </c>
      <c r="D3" s="1">
        <v>8</v>
      </c>
      <c r="E3" s="1">
        <v>6</v>
      </c>
      <c r="F3" s="1">
        <v>0.24</v>
      </c>
      <c r="H3" t="s">
        <v>8</v>
      </c>
    </row>
    <row r="4" spans="1:10" x14ac:dyDescent="0.3">
      <c r="A4" s="1">
        <v>17</v>
      </c>
      <c r="B4" s="1">
        <v>5</v>
      </c>
      <c r="C4" s="1">
        <v>0.24</v>
      </c>
      <c r="D4" s="1">
        <v>24</v>
      </c>
      <c r="E4" s="1">
        <v>12</v>
      </c>
      <c r="F4" s="1">
        <v>0.48</v>
      </c>
      <c r="H4" t="s">
        <v>9</v>
      </c>
    </row>
    <row r="5" spans="1:10" x14ac:dyDescent="0.3">
      <c r="A5" s="1">
        <v>18</v>
      </c>
      <c r="B5" s="1">
        <v>7</v>
      </c>
      <c r="C5" s="1">
        <v>0.28000000000000003</v>
      </c>
      <c r="D5" s="1">
        <v>28</v>
      </c>
      <c r="E5" s="1">
        <v>19</v>
      </c>
      <c r="F5" s="1">
        <v>0.76</v>
      </c>
    </row>
    <row r="6" spans="1:10" x14ac:dyDescent="0.3">
      <c r="A6" s="1">
        <v>19</v>
      </c>
      <c r="B6" s="1">
        <v>4</v>
      </c>
      <c r="C6" s="1">
        <v>0.12</v>
      </c>
      <c r="D6" s="1">
        <v>12</v>
      </c>
      <c r="E6" s="1">
        <v>22</v>
      </c>
      <c r="F6" s="1">
        <v>0.88</v>
      </c>
      <c r="H6" t="s">
        <v>11</v>
      </c>
    </row>
    <row r="7" spans="1:10" x14ac:dyDescent="0.3">
      <c r="A7" s="1">
        <v>20</v>
      </c>
      <c r="B7" s="1">
        <v>2</v>
      </c>
      <c r="C7" s="1">
        <v>0.08</v>
      </c>
      <c r="D7" s="1">
        <v>8</v>
      </c>
      <c r="E7" s="1">
        <v>24</v>
      </c>
      <c r="F7" s="1">
        <v>0.96</v>
      </c>
    </row>
    <row r="8" spans="1:10" x14ac:dyDescent="0.3">
      <c r="A8" s="1">
        <v>25</v>
      </c>
      <c r="B8" s="1">
        <v>1</v>
      </c>
      <c r="C8" s="1">
        <v>0.04</v>
      </c>
      <c r="D8" s="1">
        <v>4</v>
      </c>
      <c r="E8" s="1">
        <v>25</v>
      </c>
      <c r="F8" s="1">
        <v>1</v>
      </c>
      <c r="H8" t="s">
        <v>18</v>
      </c>
    </row>
    <row r="9" spans="1:10" x14ac:dyDescent="0.3">
      <c r="A9" s="5">
        <f>SUM(A2+A3+A4+A5+A6+A7+A8)</f>
        <v>130</v>
      </c>
      <c r="B9" s="5">
        <f>SUM(B2+B3+B4+B5+B6+B7+B8)</f>
        <v>25</v>
      </c>
      <c r="C9" s="5">
        <f t="shared" ref="C9:F9" si="0">SUM(C2+C3+C4+C5+C6+C7+C8)</f>
        <v>1</v>
      </c>
      <c r="D9" s="5">
        <f t="shared" si="0"/>
        <v>100</v>
      </c>
      <c r="H9" t="s">
        <v>19</v>
      </c>
    </row>
    <row r="13" spans="1:10" x14ac:dyDescent="0.3">
      <c r="A13" s="3" t="s">
        <v>0</v>
      </c>
      <c r="B13" s="3" t="s">
        <v>1</v>
      </c>
      <c r="C13" s="3" t="s">
        <v>17</v>
      </c>
      <c r="D13" s="3" t="s">
        <v>3</v>
      </c>
      <c r="G13" s="3" t="s">
        <v>0</v>
      </c>
      <c r="H13" s="3" t="s">
        <v>1</v>
      </c>
      <c r="I13" s="3" t="s">
        <v>17</v>
      </c>
      <c r="J13" s="3" t="s">
        <v>3</v>
      </c>
    </row>
    <row r="14" spans="1:10" x14ac:dyDescent="0.3">
      <c r="A14" s="1">
        <v>15</v>
      </c>
      <c r="B14" s="1">
        <v>3</v>
      </c>
      <c r="C14" s="1">
        <v>0.16667000000000001</v>
      </c>
      <c r="D14" s="1">
        <v>17</v>
      </c>
      <c r="G14" s="1">
        <v>18</v>
      </c>
      <c r="H14" s="1">
        <v>7</v>
      </c>
      <c r="I14" s="4">
        <v>0.5</v>
      </c>
      <c r="J14" s="1">
        <v>50</v>
      </c>
    </row>
    <row r="15" spans="1:10" x14ac:dyDescent="0.3">
      <c r="A15" s="1">
        <v>16</v>
      </c>
      <c r="B15" s="1">
        <v>3</v>
      </c>
      <c r="C15" s="1">
        <v>0.16667000000000001</v>
      </c>
      <c r="D15" s="1">
        <v>17</v>
      </c>
      <c r="G15" s="1">
        <v>19</v>
      </c>
      <c r="H15" s="1">
        <v>4</v>
      </c>
      <c r="I15" s="1">
        <v>0.28571000000000002</v>
      </c>
      <c r="J15" s="1">
        <v>29</v>
      </c>
    </row>
    <row r="16" spans="1:10" x14ac:dyDescent="0.3">
      <c r="A16" s="1">
        <v>17</v>
      </c>
      <c r="B16" s="1">
        <v>5</v>
      </c>
      <c r="C16" s="1">
        <v>0.27778000000000003</v>
      </c>
      <c r="D16" s="1">
        <v>27</v>
      </c>
      <c r="G16" s="1">
        <v>20</v>
      </c>
      <c r="H16" s="1">
        <v>2</v>
      </c>
      <c r="I16" s="1">
        <v>0.14285999999999999</v>
      </c>
      <c r="J16" s="1">
        <v>14</v>
      </c>
    </row>
    <row r="17" spans="1:10" x14ac:dyDescent="0.3">
      <c r="A17" s="1">
        <v>18</v>
      </c>
      <c r="B17" s="1">
        <v>7</v>
      </c>
      <c r="C17" s="1">
        <v>0.38889000000000001</v>
      </c>
      <c r="D17" s="1">
        <v>39</v>
      </c>
      <c r="G17" s="1">
        <v>25</v>
      </c>
      <c r="H17" s="1">
        <v>1</v>
      </c>
      <c r="I17" s="1">
        <v>7.1429999999999993E-2</v>
      </c>
      <c r="J17" s="1">
        <v>7</v>
      </c>
    </row>
    <row r="18" spans="1:10" x14ac:dyDescent="0.3">
      <c r="A18" s="5">
        <f>SUM(A14+A15+A16+A17)</f>
        <v>66</v>
      </c>
      <c r="B18" s="5">
        <f t="shared" ref="B18:D18" si="1">SUM(B14+B15+B16+B17)</f>
        <v>18</v>
      </c>
      <c r="C18" s="5"/>
      <c r="D18" s="5">
        <f t="shared" si="1"/>
        <v>100</v>
      </c>
      <c r="G18" s="5">
        <f>SUM(G14+G15+G16+G17)</f>
        <v>82</v>
      </c>
      <c r="H18" s="5">
        <f t="shared" ref="H18" si="2">SUM(H14+H15+H16+H17)</f>
        <v>14</v>
      </c>
      <c r="I18" s="5"/>
      <c r="J18" s="5">
        <f t="shared" ref="J18" si="3">SUM(J14+J15+J16+J17)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23"/>
  <sheetViews>
    <sheetView tabSelected="1" zoomScale="130" zoomScaleNormal="130" workbookViewId="0">
      <selection activeCell="G30" sqref="G30"/>
    </sheetView>
  </sheetViews>
  <sheetFormatPr baseColWidth="10" defaultColWidth="8.88671875" defaultRowHeight="14.4" x14ac:dyDescent="0.3"/>
  <sheetData>
    <row r="3" spans="2: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t="s">
        <v>14</v>
      </c>
    </row>
    <row r="4" spans="2:8" x14ac:dyDescent="0.3">
      <c r="B4" s="1">
        <v>2</v>
      </c>
      <c r="C4" s="1">
        <v>1</v>
      </c>
      <c r="D4" s="1">
        <v>0.02</v>
      </c>
      <c r="E4" s="1">
        <v>2</v>
      </c>
      <c r="F4" s="1">
        <v>1</v>
      </c>
      <c r="G4" s="1">
        <v>0.02</v>
      </c>
      <c r="H4" t="s">
        <v>15</v>
      </c>
    </row>
    <row r="5" spans="2:8" x14ac:dyDescent="0.3">
      <c r="B5" s="1">
        <v>3</v>
      </c>
      <c r="C5" s="1">
        <v>2</v>
      </c>
      <c r="D5" s="1">
        <v>0.08</v>
      </c>
      <c r="E5" s="1">
        <v>8</v>
      </c>
      <c r="F5" s="1">
        <v>5</v>
      </c>
      <c r="G5" s="1">
        <v>0.1</v>
      </c>
      <c r="H5" t="s">
        <v>16</v>
      </c>
    </row>
    <row r="6" spans="2:8" x14ac:dyDescent="0.3">
      <c r="B6" s="1">
        <v>4</v>
      </c>
      <c r="C6" s="1">
        <v>1</v>
      </c>
      <c r="D6" s="1">
        <v>0.02</v>
      </c>
      <c r="E6" s="1">
        <v>2</v>
      </c>
      <c r="F6" s="1">
        <v>6</v>
      </c>
      <c r="G6" s="1">
        <v>0.12</v>
      </c>
    </row>
    <row r="7" spans="2:8" x14ac:dyDescent="0.3">
      <c r="B7" s="1">
        <v>5</v>
      </c>
      <c r="C7" s="1">
        <v>3</v>
      </c>
      <c r="D7" s="1">
        <v>0.1</v>
      </c>
      <c r="E7" s="1">
        <v>10</v>
      </c>
      <c r="F7" s="1">
        <v>11</v>
      </c>
      <c r="G7" s="1">
        <v>0.22</v>
      </c>
    </row>
    <row r="8" spans="2:8" x14ac:dyDescent="0.3">
      <c r="B8" s="1">
        <v>6</v>
      </c>
      <c r="C8" s="1">
        <v>1</v>
      </c>
      <c r="D8" s="1">
        <v>0.04</v>
      </c>
      <c r="E8" s="1">
        <v>4</v>
      </c>
      <c r="F8" s="1">
        <v>13</v>
      </c>
      <c r="G8" s="1">
        <v>0.26</v>
      </c>
    </row>
    <row r="9" spans="2:8" x14ac:dyDescent="0.3">
      <c r="B9" s="1">
        <v>7</v>
      </c>
      <c r="C9" s="1">
        <v>2</v>
      </c>
      <c r="D9" s="1">
        <v>0.06</v>
      </c>
      <c r="E9" s="1">
        <v>6</v>
      </c>
      <c r="F9" s="1">
        <v>16</v>
      </c>
      <c r="G9" s="1">
        <v>0.32</v>
      </c>
    </row>
    <row r="10" spans="2:8" x14ac:dyDescent="0.3">
      <c r="B10" s="1">
        <v>8</v>
      </c>
      <c r="C10" s="1">
        <v>2</v>
      </c>
      <c r="D10" s="1">
        <v>0.08</v>
      </c>
      <c r="E10" s="1">
        <v>8</v>
      </c>
      <c r="F10" s="1">
        <v>20</v>
      </c>
      <c r="G10" s="1">
        <v>0.4</v>
      </c>
    </row>
    <row r="11" spans="2:8" x14ac:dyDescent="0.3">
      <c r="B11" s="1">
        <v>9</v>
      </c>
      <c r="C11" s="1">
        <v>3</v>
      </c>
      <c r="D11" s="1">
        <v>0.12</v>
      </c>
      <c r="E11" s="1">
        <v>12</v>
      </c>
      <c r="F11" s="1">
        <v>26</v>
      </c>
      <c r="G11" s="1">
        <v>0.52</v>
      </c>
    </row>
    <row r="12" spans="2:8" x14ac:dyDescent="0.3">
      <c r="B12" s="1">
        <v>10</v>
      </c>
      <c r="C12" s="1">
        <v>3</v>
      </c>
      <c r="D12" s="1">
        <v>0.1</v>
      </c>
      <c r="E12" s="1">
        <v>10</v>
      </c>
      <c r="F12" s="1">
        <v>31</v>
      </c>
      <c r="G12" s="1">
        <v>0.62</v>
      </c>
    </row>
    <row r="13" spans="2:8" x14ac:dyDescent="0.3">
      <c r="B13" s="1">
        <v>11</v>
      </c>
      <c r="C13" s="1">
        <v>1</v>
      </c>
      <c r="D13" s="1">
        <v>0.02</v>
      </c>
      <c r="E13" s="1">
        <v>2</v>
      </c>
      <c r="F13" s="1">
        <v>32</v>
      </c>
      <c r="G13" s="1">
        <v>0.64</v>
      </c>
    </row>
    <row r="14" spans="2:8" x14ac:dyDescent="0.3">
      <c r="B14" s="1">
        <v>12</v>
      </c>
      <c r="C14" s="1">
        <v>3</v>
      </c>
      <c r="D14" s="1">
        <v>0.08</v>
      </c>
      <c r="E14" s="1">
        <v>8</v>
      </c>
      <c r="F14" s="1">
        <v>36</v>
      </c>
      <c r="G14" s="1">
        <v>0.72</v>
      </c>
    </row>
    <row r="15" spans="2:8" x14ac:dyDescent="0.3">
      <c r="B15" s="1">
        <v>15</v>
      </c>
      <c r="C15" s="1">
        <v>1</v>
      </c>
      <c r="D15" s="1">
        <v>0.04</v>
      </c>
      <c r="E15" s="1">
        <v>4</v>
      </c>
      <c r="F15" s="1">
        <v>38</v>
      </c>
      <c r="G15" s="1">
        <v>0.76</v>
      </c>
    </row>
    <row r="16" spans="2:8" x14ac:dyDescent="0.3">
      <c r="B16" s="1">
        <v>16</v>
      </c>
      <c r="C16" s="1">
        <v>1</v>
      </c>
      <c r="D16" s="1">
        <v>0.04</v>
      </c>
      <c r="E16" s="1">
        <v>4</v>
      </c>
      <c r="F16" s="1">
        <v>40</v>
      </c>
      <c r="G16" s="1">
        <v>0.8</v>
      </c>
    </row>
    <row r="17" spans="2:7" x14ac:dyDescent="0.3">
      <c r="B17" s="1">
        <v>17</v>
      </c>
      <c r="C17" s="1">
        <v>1</v>
      </c>
      <c r="D17" s="1">
        <v>0.04</v>
      </c>
      <c r="E17" s="1">
        <v>4</v>
      </c>
      <c r="F17" s="1">
        <v>42</v>
      </c>
      <c r="G17" s="1">
        <v>0.84000000000000008</v>
      </c>
    </row>
    <row r="18" spans="2:7" x14ac:dyDescent="0.3">
      <c r="B18" s="1">
        <v>20</v>
      </c>
      <c r="C18" s="1">
        <v>1</v>
      </c>
      <c r="D18" s="1">
        <v>0.04</v>
      </c>
      <c r="E18" s="1">
        <v>4</v>
      </c>
      <c r="F18" s="1">
        <v>44</v>
      </c>
      <c r="G18" s="1">
        <v>0.88000000000000012</v>
      </c>
    </row>
    <row r="19" spans="2:7" x14ac:dyDescent="0.3">
      <c r="B19" s="1">
        <v>25</v>
      </c>
      <c r="C19" s="1">
        <v>1</v>
      </c>
      <c r="D19" s="1">
        <v>0.04</v>
      </c>
      <c r="E19" s="1">
        <v>4</v>
      </c>
      <c r="F19" s="1">
        <v>46</v>
      </c>
      <c r="G19" s="1">
        <v>0.92000000000000015</v>
      </c>
    </row>
    <row r="20" spans="2:7" x14ac:dyDescent="0.3">
      <c r="B20" s="1">
        <v>31</v>
      </c>
      <c r="C20" s="1">
        <v>1</v>
      </c>
      <c r="D20" s="1">
        <v>0.02</v>
      </c>
      <c r="E20" s="1">
        <v>2</v>
      </c>
      <c r="F20" s="1">
        <v>47</v>
      </c>
      <c r="G20" s="1">
        <v>0.94000000000000017</v>
      </c>
    </row>
    <row r="21" spans="2:7" x14ac:dyDescent="0.3">
      <c r="B21" s="1">
        <v>35</v>
      </c>
      <c r="C21" s="1">
        <v>1</v>
      </c>
      <c r="D21" s="1">
        <v>0.02</v>
      </c>
      <c r="E21" s="1">
        <v>2</v>
      </c>
      <c r="F21" s="1">
        <v>48</v>
      </c>
      <c r="G21" s="1">
        <v>0.96000000000000019</v>
      </c>
    </row>
    <row r="22" spans="2:7" x14ac:dyDescent="0.3">
      <c r="B22" s="1">
        <v>44</v>
      </c>
      <c r="C22" s="1">
        <v>1</v>
      </c>
      <c r="D22" s="1">
        <v>0.04</v>
      </c>
      <c r="E22" s="1">
        <v>4</v>
      </c>
      <c r="F22" s="1">
        <v>50</v>
      </c>
      <c r="G22" s="1">
        <v>1</v>
      </c>
    </row>
    <row r="23" spans="2:7" x14ac:dyDescent="0.3">
      <c r="B23" s="5">
        <f>SUM(B4+B5+B6+B7+B8+B9+B10+B11+B12+B13+B14+B15+B16+B17+B18+B19+B20+B21+B22)</f>
        <v>280</v>
      </c>
      <c r="C23" s="5">
        <f t="shared" ref="C23:E23" si="0">SUM(C4+C5+C6+C7+C8+C9+C10+C11+C12+C13+C14+C15+C16+C17+C18+C19+C20+C21+C22)</f>
        <v>30</v>
      </c>
      <c r="D23" s="5">
        <f t="shared" si="0"/>
        <v>1.0000000000000002</v>
      </c>
      <c r="E23" s="5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</cp:lastModifiedBy>
  <dcterms:created xsi:type="dcterms:W3CDTF">2025-02-27T21:04:22Z</dcterms:created>
  <dcterms:modified xsi:type="dcterms:W3CDTF">2025-02-27T21:59:48Z</dcterms:modified>
</cp:coreProperties>
</file>